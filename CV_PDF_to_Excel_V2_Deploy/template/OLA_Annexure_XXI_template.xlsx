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S:\Download\appa work\"/>
    </mc:Choice>
  </mc:AlternateContent>
  <xr:revisionPtr revIDLastSave="0" documentId="8_{224B8338-2652-482E-B7DE-91822C39693A}" xr6:coauthVersionLast="47" xr6:coauthVersionMax="47" xr10:uidLastSave="{00000000-0000-0000-0000-000000000000}"/>
  <bookViews>
    <workbookView xWindow="-108" yWindow="-108" windowWidth="23256" windowHeight="12456" xr2:uid="{00000000-000D-0000-FFFF-FFFF00000000}"/>
  </bookViews>
  <sheets>
    <sheet name="Vendor Claim Sheet" sheetId="1" r:id="rId1"/>
  </sheets>
  <definedNames>
    <definedName name="_xlnm.Print_Area" localSheetId="0">'Vendor Claim Sheet'!$A$1:$R$46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3" i="1" l="1"/>
  <c r="R24" i="1"/>
  <c r="R25" i="1"/>
  <c r="L25" i="1"/>
  <c r="P25" i="1"/>
  <c r="L24" i="1"/>
  <c r="P24" i="1"/>
  <c r="L23" i="1"/>
  <c r="P23" i="1"/>
  <c r="P7" i="1"/>
  <c r="R7" i="1" s="1"/>
  <c r="K37" i="1"/>
  <c r="M37" i="1"/>
  <c r="N37" i="1"/>
  <c r="O37" i="1"/>
  <c r="Q37" i="1"/>
  <c r="P17" i="1"/>
  <c r="R17" i="1" s="1"/>
  <c r="L18" i="1"/>
  <c r="P18" i="1" s="1"/>
  <c r="R18" i="1" s="1"/>
  <c r="L19" i="1"/>
  <c r="P19" i="1" s="1"/>
  <c r="R19" i="1" s="1"/>
  <c r="L20" i="1"/>
  <c r="P20" i="1" s="1"/>
  <c r="R20" i="1" s="1"/>
  <c r="L21" i="1"/>
  <c r="P21" i="1" s="1"/>
  <c r="R21" i="1" s="1"/>
  <c r="L22" i="1"/>
  <c r="P22" i="1" s="1"/>
  <c r="R22" i="1" s="1"/>
  <c r="L14" i="1"/>
  <c r="P14" i="1" s="1"/>
  <c r="L15" i="1"/>
  <c r="P15" i="1" s="1"/>
  <c r="P16" i="1"/>
  <c r="L10" i="1"/>
  <c r="P10" i="1" s="1"/>
  <c r="L11" i="1"/>
  <c r="P11" i="1" s="1"/>
  <c r="R11" i="1" s="1"/>
  <c r="L12" i="1"/>
  <c r="L13" i="1"/>
  <c r="P13" i="1" s="1"/>
  <c r="P8" i="1"/>
  <c r="L9" i="1"/>
  <c r="P9" i="1" s="1"/>
  <c r="L37" i="1" l="1"/>
  <c r="R13" i="1"/>
  <c r="P12" i="1"/>
  <c r="P37" i="1" s="1"/>
  <c r="R10" i="1"/>
  <c r="R9" i="1"/>
  <c r="R8" i="1"/>
  <c r="R15" i="1"/>
  <c r="R14" i="1"/>
  <c r="R16" i="1"/>
  <c r="R12" i="1" l="1"/>
  <c r="R37" i="1" s="1"/>
</calcChain>
</file>

<file path=xl/sharedStrings.xml><?xml version="1.0" encoding="utf-8"?>
<sst xmlns="http://schemas.openxmlformats.org/spreadsheetml/2006/main" count="167" uniqueCount="105">
  <si>
    <t>Annexure-XXI for Stamping service as per Bill</t>
  </si>
  <si>
    <t xml:space="preserve">Vendor Name: </t>
  </si>
  <si>
    <t>Weightronics Automation Systems,Hosur</t>
  </si>
  <si>
    <t>Bill No:</t>
  </si>
  <si>
    <t>Bill Date:</t>
  </si>
  <si>
    <t>Purchase Order No. &amp; Date:</t>
  </si>
  <si>
    <t>ETPL Branch Name:</t>
  </si>
  <si>
    <t>Hosur</t>
  </si>
  <si>
    <t>Sl.No</t>
  </si>
  <si>
    <t>Machine Number</t>
  </si>
  <si>
    <t>Capacity</t>
  </si>
  <si>
    <t>Class</t>
  </si>
  <si>
    <t>Customer Name</t>
  </si>
  <si>
    <t>Location as per Purchase Order</t>
  </si>
  <si>
    <t>VC Number</t>
  </si>
  <si>
    <t>VC Date</t>
  </si>
  <si>
    <t>Actual Stamping Fees in Rs.</t>
  </si>
  <si>
    <t>Additional Fees in Rs.</t>
  </si>
  <si>
    <t>Total Fees Paid in Rs.</t>
  </si>
  <si>
    <t>Service Charges in Rs.</t>
  </si>
  <si>
    <t>Total Amount in Rs.</t>
  </si>
  <si>
    <t>Site Stamping Fees</t>
  </si>
  <si>
    <t>CC / TA-DA Charges</t>
  </si>
  <si>
    <t>OD Charges</t>
  </si>
  <si>
    <t>Other Charges</t>
  </si>
  <si>
    <t>(a)</t>
  </si>
  <si>
    <t>(b)</t>
  </si>
  <si>
    <t>(c)</t>
  </si>
  <si>
    <t>(d)</t>
  </si>
  <si>
    <t>(e)</t>
  </si>
  <si>
    <t>A=(a)+(b)+(c )+(d)+( e)</t>
  </si>
  <si>
    <t>B</t>
  </si>
  <si>
    <t>(A+B)</t>
  </si>
  <si>
    <t>Total</t>
  </si>
  <si>
    <t>We are hereby Certifying that :-</t>
  </si>
  <si>
    <t>Prepared By (Vendor Signature with Seal/ DSC)</t>
  </si>
  <si>
    <t>1. Actual Machine Serial Number mentioned in the Verification Certificate.</t>
  </si>
  <si>
    <t>Name:</t>
  </si>
  <si>
    <t>2. Stamping Plate or Sealing Lead has been fixed in the machine by undersign after stamping.</t>
  </si>
  <si>
    <t>3. Original Verification Certificate for the above said machines submitted to the customer and VC delivery Report Collected from customer before expiry of due date.</t>
  </si>
  <si>
    <t>Date:</t>
  </si>
  <si>
    <t>4. Soft Copy of stamping Certificate and VC delivery report has been shared to ETPL - Branch Unit Head before expiry of date.</t>
  </si>
  <si>
    <t>5. Bill submitted to ETPL - Branch Unit Head within 30 days from the date of Verification Certificate.</t>
  </si>
  <si>
    <t xml:space="preserve">6. GST Invoice / Bill for this claim shall be updated in GST Portal on or before 1st working day of next month to avoid deduction of Received GST amount with penalty from my next bill. We are herewith confirming that upto Last Month GST Bills are updated in GST portal by us. </t>
  </si>
  <si>
    <t>SOP No: ETPL/AP/CE</t>
  </si>
  <si>
    <t>II</t>
  </si>
  <si>
    <t>HOSUR</t>
  </si>
  <si>
    <t>III</t>
  </si>
  <si>
    <t>ETPL/STM/G922 Dtd. 15/09/2025</t>
  </si>
  <si>
    <t>600 Kg</t>
  </si>
  <si>
    <t>150 Kg</t>
  </si>
  <si>
    <t>1000 Kg</t>
  </si>
  <si>
    <t>30 Kg</t>
  </si>
  <si>
    <t>B2500461462</t>
  </si>
  <si>
    <t>SAA AB ENGINEERING PRIVATE LIMITED</t>
  </si>
  <si>
    <t>B2500461463</t>
  </si>
  <si>
    <t>60 Kg</t>
  </si>
  <si>
    <t>15 Kg</t>
  </si>
  <si>
    <t>I</t>
  </si>
  <si>
    <t>3 Kg</t>
  </si>
  <si>
    <t>KNG/477/116872</t>
  </si>
  <si>
    <t>CARBORUNDUM UNIVERSAL LTD</t>
  </si>
  <si>
    <t>B2600477580</t>
  </si>
  <si>
    <t>KNG/477/116873</t>
  </si>
  <si>
    <t>B2600477642</t>
  </si>
  <si>
    <t>RENK GEARS PRIVATE LIMITED</t>
  </si>
  <si>
    <t>KNG/477/116892</t>
  </si>
  <si>
    <t xml:space="preserve"> 03-09-2026</t>
  </si>
  <si>
    <t>B2500452240</t>
  </si>
  <si>
    <t>2000 Kg</t>
  </si>
  <si>
    <t>DC85123405193</t>
  </si>
  <si>
    <t>B2500453630</t>
  </si>
  <si>
    <t>5 Kg</t>
  </si>
  <si>
    <t>B2500452418</t>
  </si>
  <si>
    <t>620 g</t>
  </si>
  <si>
    <t>B2500461586</t>
  </si>
  <si>
    <t>KNG/477/116893</t>
  </si>
  <si>
    <t>KNG/477/116894</t>
  </si>
  <si>
    <t>KNG/477/116895</t>
  </si>
  <si>
    <t>KNG/477/116896</t>
  </si>
  <si>
    <t>KNG/477/116897</t>
  </si>
  <si>
    <t>KNG/477/116898</t>
  </si>
  <si>
    <t xml:space="preserve"> KNG/477/116899</t>
  </si>
  <si>
    <t>TVS MOTOR COMPANY LIMITED</t>
  </si>
  <si>
    <t>B2600478655</t>
  </si>
  <si>
    <t>B2600475873</t>
  </si>
  <si>
    <t xml:space="preserve"> KNG/477/116900</t>
  </si>
  <si>
    <t>KNG/70/103470</t>
  </si>
  <si>
    <t>DC81021350390</t>
  </si>
  <si>
    <t>1.5 Kg</t>
  </si>
  <si>
    <t>OLA ELECTRIC TECHNOLOGIES PRIVATE LIMITED</t>
  </si>
  <si>
    <t>DC81021348828</t>
  </si>
  <si>
    <t>DC81021348829</t>
  </si>
  <si>
    <t>DC81021348830</t>
  </si>
  <si>
    <t>DC81022373811</t>
  </si>
  <si>
    <t>B2400425517</t>
  </si>
  <si>
    <t>B2400425518</t>
  </si>
  <si>
    <t>DC81521349910</t>
  </si>
  <si>
    <t>KNG/70/103471</t>
  </si>
  <si>
    <t>KNG/70/103472</t>
  </si>
  <si>
    <t>KNG/70/103473</t>
  </si>
  <si>
    <t>KNG/70/103474</t>
  </si>
  <si>
    <t>KNG/70/103475</t>
  </si>
  <si>
    <t>KNG/70/103476</t>
  </si>
  <si>
    <t>KNG/70/103477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</si>
</sst>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_ [$₹-4009]\ * #,##0.00_ ;_ [$₹-4009]\ * \-#,##0.00_ ;_ [$₹-4009]\ * &quot;-&quot;??_ ;_ @_ "/>
    <numFmt numFmtId="166" formatCode="&quot;₹&quot;\ #,##0.00"/>
  </numFmts>
  <fonts count="12">
    <font>
      <sz val="11"/>
      <color theme="1"/>
      <name val="Calibri"/>
      <charset val="134"/>
      <scheme val="minor"/>
    </font>
    <font>
      <b/>
      <sz val="16"/>
      <color theme="1"/>
      <name val="Calibri"/>
      <charset val="134"/>
      <scheme val="minor"/>
    </font>
    <font>
      <b/>
      <sz val="11"/>
      <color theme="1"/>
      <name val="Calibri"/>
      <charset val="134"/>
      <scheme val="minor"/>
    </font>
    <font>
      <sz val="18"/>
      <color theme="1"/>
      <name val="Calibri"/>
      <charset val="134"/>
      <scheme val="minor"/>
    </font>
    <font>
      <b/>
      <sz val="22"/>
      <color theme="1"/>
      <name val="Calibri"/>
      <charset val="134"/>
      <scheme val="minor"/>
    </font>
    <font>
      <b/>
      <sz val="18"/>
      <color theme="1"/>
      <name val="Calibri"/>
      <charset val="134"/>
      <scheme val="minor"/>
    </font>
    <font>
      <b/>
      <sz val="20"/>
      <color theme="1"/>
      <name val="Calibri"/>
      <charset val="134"/>
      <scheme val="minor"/>
    </font>
    <font>
      <b/>
      <sz val="14"/>
      <color theme="1"/>
      <name val="Calibri"/>
      <charset val="134"/>
      <scheme val="minor"/>
    </font>
    <font>
      <b/>
      <sz val="10"/>
      <color theme="1"/>
      <name val="Calibri"/>
      <charset val="134"/>
      <scheme val="minor"/>
    </font>
    <font>
      <sz val="16"/>
      <color theme="1"/>
      <name val="Calibri"/>
      <charset val="134"/>
      <scheme val="minor"/>
    </font>
    <font>
      <b/>
      <sz val="18"/>
      <color theme="1"/>
      <name val="Cambria"/>
      <charset val="134"/>
    </font>
    <font>
      <sz val="8"/>
      <name val="Calibri"/>
      <charset val="134"/>
      <scheme val="minor"/>
    </font>
  </fonts>
  <fills count="3">
    <fill>
      <patternFill patternType="none"/>
    </fill>
    <fill>
      <patternFill patternType="gray125"/>
    </fill>
    <fill>
      <patternFill patternType="solid">
        <fgColor theme="2"/>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medium">
        <color auto="1"/>
      </bottom>
      <diagonal/>
    </border>
    <border>
      <left/>
      <right/>
      <top style="medium">
        <color auto="1"/>
      </top>
      <bottom/>
      <diagonal/>
    </border>
    <border>
      <left/>
      <right style="medium">
        <color auto="1"/>
      </right>
      <top style="thin">
        <color auto="1"/>
      </top>
      <bottom/>
      <diagonal/>
    </border>
    <border>
      <left/>
      <right style="medium">
        <color auto="1"/>
      </right>
      <top/>
      <bottom/>
      <diagonal/>
    </border>
    <border>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1" fontId="7" fillId="0" borderId="3" xfId="0" applyNumberFormat="1" applyFont="1" applyBorder="1" applyAlignment="1">
      <alignment horizontal="center" vertical="center"/>
    </xf>
    <xf numFmtId="0" fontId="0" fillId="0" borderId="4" xfId="0" applyBorder="1" applyAlignment="1">
      <alignment horizontal="center" vertical="center"/>
    </xf>
    <xf numFmtId="164" fontId="0" fillId="0" borderId="4" xfId="0" applyNumberFormat="1" applyBorder="1" applyAlignment="1">
      <alignment horizontal="center" vertical="center"/>
    </xf>
    <xf numFmtId="0" fontId="5" fillId="0" borderId="4" xfId="0" applyFont="1" applyBorder="1" applyAlignment="1">
      <alignment vertical="center"/>
    </xf>
    <xf numFmtId="0" fontId="2" fillId="0" borderId="4" xfId="0" applyFont="1" applyBorder="1" applyAlignment="1">
      <alignment horizontal="center" vertical="center" wrapText="1"/>
    </xf>
    <xf numFmtId="0" fontId="8" fillId="0" borderId="4" xfId="0" applyFont="1" applyBorder="1" applyAlignment="1">
      <alignment horizontal="center" vertical="center" wrapText="1"/>
    </xf>
    <xf numFmtId="49" fontId="2" fillId="0" borderId="4" xfId="0" applyNumberFormat="1" applyFont="1" applyBorder="1" applyAlignment="1">
      <alignment horizontal="center" vertical="center"/>
    </xf>
    <xf numFmtId="49" fontId="0" fillId="0" borderId="4" xfId="0" applyNumberFormat="1" applyBorder="1" applyAlignment="1">
      <alignment horizontal="center" vertical="center"/>
    </xf>
    <xf numFmtId="165" fontId="0" fillId="0" borderId="4" xfId="0" applyNumberFormat="1" applyBorder="1" applyAlignment="1">
      <alignment vertical="center"/>
    </xf>
    <xf numFmtId="165" fontId="2" fillId="0" borderId="4" xfId="0" applyNumberFormat="1" applyFont="1" applyBorder="1" applyAlignment="1">
      <alignment vertical="center"/>
    </xf>
    <xf numFmtId="49" fontId="2" fillId="0" borderId="6" xfId="0" applyNumberFormat="1" applyFont="1" applyBorder="1" applyAlignment="1">
      <alignment horizontal="center" vertical="center"/>
    </xf>
    <xf numFmtId="165" fontId="0" fillId="0" borderId="6" xfId="0" applyNumberFormat="1" applyBorder="1" applyAlignment="1">
      <alignment vertical="center"/>
    </xf>
    <xf numFmtId="0" fontId="5" fillId="0" borderId="7" xfId="0" applyFont="1" applyBorder="1" applyAlignment="1">
      <alignment vertical="center"/>
    </xf>
    <xf numFmtId="0" fontId="9" fillId="0" borderId="7" xfId="0" applyFont="1" applyBorder="1" applyAlignment="1">
      <alignment horizontal="left" vertical="center"/>
    </xf>
    <xf numFmtId="0" fontId="9" fillId="0" borderId="0" xfId="0" applyFont="1" applyAlignment="1">
      <alignment vertical="center"/>
    </xf>
    <xf numFmtId="0" fontId="9" fillId="0" borderId="0" xfId="0" applyFont="1" applyAlignment="1">
      <alignment vertical="center" wrapText="1"/>
    </xf>
    <xf numFmtId="0" fontId="0" fillId="0" borderId="12" xfId="0" applyBorder="1" applyAlignment="1">
      <alignment vertical="center"/>
    </xf>
    <xf numFmtId="0" fontId="3" fillId="0" borderId="13" xfId="0" applyFont="1" applyBorder="1" applyAlignment="1">
      <alignment vertical="center"/>
    </xf>
    <xf numFmtId="0" fontId="3" fillId="0" borderId="9" xfId="0" applyFont="1" applyBorder="1" applyAlignment="1">
      <alignment vertical="center"/>
    </xf>
    <xf numFmtId="165" fontId="2" fillId="0" borderId="6" xfId="0" applyNumberFormat="1" applyFont="1" applyBorder="1" applyAlignment="1">
      <alignment vertical="center"/>
    </xf>
    <xf numFmtId="0" fontId="0" fillId="0" borderId="16" xfId="0" applyBorder="1" applyAlignment="1">
      <alignment vertical="center"/>
    </xf>
    <xf numFmtId="14" fontId="0" fillId="0" borderId="4" xfId="0" applyNumberFormat="1" applyBorder="1" applyAlignment="1">
      <alignment horizontal="center" vertical="center"/>
    </xf>
    <xf numFmtId="166" fontId="2" fillId="0" borderId="4" xfId="0" applyNumberFormat="1" applyFont="1"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2" fillId="0" borderId="4" xfId="0" applyFont="1"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0" fillId="0" borderId="10" xfId="0" applyFont="1" applyBorder="1" applyAlignment="1" applyProtection="1">
      <alignment horizontal="left" vertical="center"/>
      <protection locked="0"/>
    </xf>
    <xf numFmtId="0" fontId="10" fillId="0" borderId="11" xfId="0" applyFont="1" applyBorder="1" applyAlignment="1" applyProtection="1">
      <alignment horizontal="left" vertical="center"/>
      <protection locked="0"/>
    </xf>
    <xf numFmtId="0" fontId="10" fillId="0" borderId="15" xfId="0" applyFont="1" applyBorder="1" applyAlignment="1" applyProtection="1">
      <alignment horizontal="left" vertical="center"/>
      <protection locked="0"/>
    </xf>
    <xf numFmtId="0" fontId="10" fillId="0" borderId="12"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16" xfId="0" applyFont="1" applyBorder="1" applyAlignment="1" applyProtection="1">
      <alignment horizontal="left" vertical="center"/>
      <protection locked="0"/>
    </xf>
    <xf numFmtId="0" fontId="10" fillId="0" borderId="12"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9" fillId="0" borderId="7" xfId="0" applyFont="1" applyBorder="1" applyAlignment="1">
      <alignment horizontal="left" vertical="center"/>
    </xf>
    <xf numFmtId="0" fontId="9" fillId="0" borderId="0" xfId="0" applyFont="1" applyAlignment="1">
      <alignment horizontal="left" vertical="center"/>
    </xf>
    <xf numFmtId="0" fontId="9" fillId="0" borderId="20" xfId="0" applyFont="1" applyBorder="1" applyAlignment="1">
      <alignment horizontal="left" vertical="center"/>
    </xf>
    <xf numFmtId="0" fontId="3" fillId="0" borderId="9" xfId="0" applyFont="1" applyBorder="1" applyAlignment="1">
      <alignment horizontal="center" vertical="center"/>
    </xf>
    <xf numFmtId="0" fontId="3" fillId="0" borderId="17" xfId="0" applyFont="1" applyBorder="1" applyAlignment="1">
      <alignment horizontal="center" vertical="center"/>
    </xf>
    <xf numFmtId="0" fontId="2" fillId="0" borderId="14" xfId="0" applyFont="1" applyBorder="1" applyAlignment="1">
      <alignment horizontal="center" vertical="center"/>
    </xf>
    <xf numFmtId="0" fontId="6" fillId="0" borderId="3" xfId="0" applyFont="1" applyBorder="1" applyAlignment="1">
      <alignment vertical="center" wrapText="1"/>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1" fillId="0" borderId="6" xfId="0" applyFont="1" applyBorder="1" applyAlignment="1">
      <alignment horizontal="center"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5" fillId="2" borderId="2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6"/>
  <sheetViews>
    <sheetView tabSelected="1" topLeftCell="A20" zoomScale="60" zoomScaleNormal="60" zoomScaleSheetLayoutView="55" workbookViewId="0">
      <selection activeCell="R37" sqref="R37"/>
    </sheetView>
  </sheetViews>
  <sheetFormatPr defaultColWidth="8.6640625" defaultRowHeight="32.1" customHeight="1"/>
  <cols>
    <col min="1" max="1" width="6.6640625" style="4" customWidth="1"/>
    <col min="2" max="2" width="7.21875" style="4" customWidth="1"/>
    <col min="3" max="3" width="8" style="4" customWidth="1"/>
    <col min="4" max="4" width="11.21875" style="4" customWidth="1"/>
    <col min="5" max="5" width="13.21875" style="4" customWidth="1"/>
    <col min="6" max="6" width="12.5546875" style="4" customWidth="1"/>
    <col min="7" max="7" width="46.21875" style="4" customWidth="1"/>
    <col min="8" max="8" width="30.77734375" style="4" customWidth="1"/>
    <col min="9" max="9" width="29.21875" style="4" customWidth="1"/>
    <col min="10" max="10" width="20" style="4" customWidth="1"/>
    <col min="11" max="11" width="14.21875" style="4" customWidth="1"/>
    <col min="12" max="12" width="12" style="4" customWidth="1"/>
    <col min="13" max="13" width="13.21875" style="4" customWidth="1"/>
    <col min="14" max="14" width="10.21875" style="4" customWidth="1"/>
    <col min="15" max="15" width="8.6640625" style="4"/>
    <col min="16" max="16" width="20.5546875" style="4" customWidth="1"/>
    <col min="17" max="17" width="15.77734375" style="4" customWidth="1"/>
    <col min="18" max="18" width="19.77734375" style="4" customWidth="1"/>
    <col min="19" max="16384" width="8.6640625" style="4"/>
  </cols>
  <sheetData>
    <row r="1" spans="1:18" s="1" customFormat="1" ht="35.1" customHeight="1">
      <c r="A1" s="31" t="s">
        <v>0</v>
      </c>
      <c r="B1" s="32"/>
      <c r="C1" s="32"/>
      <c r="D1" s="32"/>
      <c r="E1" s="32"/>
      <c r="F1" s="32"/>
      <c r="G1" s="32"/>
      <c r="H1" s="32"/>
      <c r="I1" s="32"/>
      <c r="J1" s="32"/>
      <c r="K1" s="32"/>
      <c r="L1" s="32"/>
      <c r="M1" s="32"/>
      <c r="N1" s="32"/>
      <c r="O1" s="32"/>
      <c r="P1" s="32"/>
      <c r="Q1" s="32"/>
      <c r="R1" s="33"/>
    </row>
    <row r="2" spans="1:18" s="1" customFormat="1" ht="35.1" customHeight="1">
      <c r="A2" s="34" t="s">
        <v>1</v>
      </c>
      <c r="B2" s="35"/>
      <c r="C2" s="35"/>
      <c r="D2" s="35"/>
      <c r="E2" s="35"/>
      <c r="F2" s="36" t="s">
        <v>2</v>
      </c>
      <c r="G2" s="36"/>
      <c r="H2" s="36"/>
      <c r="I2" s="36"/>
      <c r="J2" s="36"/>
      <c r="K2" s="8" t="s">
        <v>3</v>
      </c>
      <c r="L2" s="36"/>
      <c r="M2" s="36"/>
      <c r="N2" s="36"/>
      <c r="O2" s="36"/>
      <c r="P2" s="8" t="s">
        <v>4</v>
      </c>
      <c r="Q2" s="36"/>
      <c r="R2" s="37"/>
    </row>
    <row r="3" spans="1:18" s="1" customFormat="1" ht="35.1" customHeight="1">
      <c r="A3" s="34" t="s">
        <v>5</v>
      </c>
      <c r="B3" s="35"/>
      <c r="C3" s="35"/>
      <c r="D3" s="35"/>
      <c r="E3" s="35"/>
      <c r="F3" s="36" t="s">
        <v>48</v>
      </c>
      <c r="G3" s="36"/>
      <c r="H3" s="36"/>
      <c r="I3" s="36"/>
      <c r="J3" s="36"/>
      <c r="K3" s="35" t="s">
        <v>6</v>
      </c>
      <c r="L3" s="35"/>
      <c r="M3" s="35"/>
      <c r="N3" s="36" t="s">
        <v>7</v>
      </c>
      <c r="O3" s="36"/>
      <c r="P3" s="36"/>
      <c r="Q3" s="36"/>
      <c r="R3" s="37"/>
    </row>
    <row r="4" spans="1:18" s="2" customFormat="1" ht="26.1" customHeight="1">
      <c r="A4" s="58" t="s">
        <v>8</v>
      </c>
      <c r="B4" s="36" t="s">
        <v>9</v>
      </c>
      <c r="C4" s="36"/>
      <c r="D4" s="36"/>
      <c r="E4" s="36" t="s">
        <v>10</v>
      </c>
      <c r="F4" s="36" t="s">
        <v>11</v>
      </c>
      <c r="G4" s="59" t="s">
        <v>12</v>
      </c>
      <c r="H4" s="59" t="s">
        <v>13</v>
      </c>
      <c r="I4" s="36" t="s">
        <v>14</v>
      </c>
      <c r="J4" s="36" t="s">
        <v>15</v>
      </c>
      <c r="K4" s="60" t="s">
        <v>16</v>
      </c>
      <c r="L4" s="38" t="s">
        <v>17</v>
      </c>
      <c r="M4" s="38"/>
      <c r="N4" s="38"/>
      <c r="O4" s="38"/>
      <c r="P4" s="59" t="s">
        <v>18</v>
      </c>
      <c r="Q4" s="59" t="s">
        <v>19</v>
      </c>
      <c r="R4" s="61" t="s">
        <v>20</v>
      </c>
    </row>
    <row r="5" spans="1:18" ht="41.55" customHeight="1">
      <c r="A5" s="58"/>
      <c r="B5" s="36"/>
      <c r="C5" s="36"/>
      <c r="D5" s="36"/>
      <c r="E5" s="36"/>
      <c r="F5" s="36"/>
      <c r="G5" s="59"/>
      <c r="H5" s="59"/>
      <c r="I5" s="36"/>
      <c r="J5" s="36"/>
      <c r="K5" s="60"/>
      <c r="L5" s="10" t="s">
        <v>21</v>
      </c>
      <c r="M5" s="9" t="s">
        <v>22</v>
      </c>
      <c r="N5" s="9" t="s">
        <v>23</v>
      </c>
      <c r="O5" s="9" t="s">
        <v>24</v>
      </c>
      <c r="P5" s="59"/>
      <c r="Q5" s="59"/>
      <c r="R5" s="61"/>
    </row>
    <row r="6" spans="1:18" ht="26.1" customHeight="1">
      <c r="A6" s="58"/>
      <c r="B6" s="36"/>
      <c r="C6" s="36"/>
      <c r="D6" s="36"/>
      <c r="E6" s="36"/>
      <c r="F6" s="36"/>
      <c r="G6" s="59"/>
      <c r="H6" s="59"/>
      <c r="I6" s="36"/>
      <c r="J6" s="36"/>
      <c r="K6" s="11" t="s">
        <v>25</v>
      </c>
      <c r="L6" s="11" t="s">
        <v>26</v>
      </c>
      <c r="M6" s="11" t="s">
        <v>27</v>
      </c>
      <c r="N6" s="11" t="s">
        <v>28</v>
      </c>
      <c r="O6" s="11" t="s">
        <v>29</v>
      </c>
      <c r="P6" s="12" t="s">
        <v>30</v>
      </c>
      <c r="Q6" s="11" t="s">
        <v>31</v>
      </c>
      <c r="R6" s="15" t="s">
        <v>32</v>
      </c>
    </row>
    <row r="7" spans="1:18" ht="32.1" customHeight="1">
      <c r="A7" s="5">
        <v>1</v>
      </c>
      <c r="B7" s="39" t="s">
        <v>62</v>
      </c>
      <c r="C7" s="39"/>
      <c r="D7" s="39"/>
      <c r="E7" s="7" t="s">
        <v>51</v>
      </c>
      <c r="F7" s="7" t="s">
        <v>47</v>
      </c>
      <c r="G7" s="6" t="s">
        <v>61</v>
      </c>
      <c r="H7" s="6" t="s">
        <v>46</v>
      </c>
      <c r="I7" s="6" t="s">
        <v>60</v>
      </c>
      <c r="J7" s="26">
        <v>46267</v>
      </c>
      <c r="K7" s="13">
        <v>500</v>
      </c>
      <c r="L7" s="13"/>
      <c r="M7" s="13">
        <v>100</v>
      </c>
      <c r="N7" s="13"/>
      <c r="O7" s="6"/>
      <c r="P7" s="13">
        <f>K7+L7+M7+N7</f>
        <v>600</v>
      </c>
      <c r="Q7" s="13">
        <v>500</v>
      </c>
      <c r="R7" s="16">
        <f>P7+Q7</f>
        <v>1100</v>
      </c>
    </row>
    <row r="8" spans="1:18" ht="32.1" customHeight="1">
      <c r="A8" s="5">
        <v>2</v>
      </c>
      <c r="B8" s="39" t="s">
        <v>64</v>
      </c>
      <c r="C8" s="39"/>
      <c r="D8" s="39"/>
      <c r="E8" s="7" t="s">
        <v>51</v>
      </c>
      <c r="F8" s="7" t="s">
        <v>47</v>
      </c>
      <c r="G8" s="6" t="s">
        <v>65</v>
      </c>
      <c r="H8" s="6" t="s">
        <v>46</v>
      </c>
      <c r="I8" s="6" t="s">
        <v>63</v>
      </c>
      <c r="J8" s="26">
        <v>46267</v>
      </c>
      <c r="K8" s="13">
        <v>500</v>
      </c>
      <c r="L8" s="13"/>
      <c r="M8" s="13">
        <v>100</v>
      </c>
      <c r="N8" s="13"/>
      <c r="O8" s="6"/>
      <c r="P8" s="13">
        <f t="shared" ref="P8:P11" si="0">K8+L8+M8+N8</f>
        <v>600</v>
      </c>
      <c r="Q8" s="13">
        <v>500</v>
      </c>
      <c r="R8" s="16">
        <f t="shared" ref="R8:R25" si="1">P8+Q8</f>
        <v>1100</v>
      </c>
    </row>
    <row r="9" spans="1:18" ht="32.1" customHeight="1">
      <c r="A9" s="5">
        <v>3</v>
      </c>
      <c r="B9" s="39" t="s">
        <v>68</v>
      </c>
      <c r="C9" s="39"/>
      <c r="D9" s="39"/>
      <c r="E9" s="7" t="s">
        <v>69</v>
      </c>
      <c r="F9" s="7" t="s">
        <v>47</v>
      </c>
      <c r="G9" s="6" t="s">
        <v>54</v>
      </c>
      <c r="H9" s="6" t="s">
        <v>46</v>
      </c>
      <c r="I9" s="6" t="s">
        <v>66</v>
      </c>
      <c r="J9" s="26" t="s">
        <v>67</v>
      </c>
      <c r="K9" s="13">
        <v>1000</v>
      </c>
      <c r="L9" s="13">
        <f t="shared" ref="L7:L25" si="2">K9/2</f>
        <v>500</v>
      </c>
      <c r="M9" s="13">
        <v>100</v>
      </c>
      <c r="N9" s="13"/>
      <c r="O9" s="6"/>
      <c r="P9" s="13">
        <f t="shared" si="0"/>
        <v>1600</v>
      </c>
      <c r="Q9" s="13">
        <v>500</v>
      </c>
      <c r="R9" s="16">
        <f t="shared" si="1"/>
        <v>2100</v>
      </c>
    </row>
    <row r="10" spans="1:18" ht="32.1" customHeight="1">
      <c r="A10" s="5">
        <v>4</v>
      </c>
      <c r="B10" s="39" t="s">
        <v>70</v>
      </c>
      <c r="C10" s="39"/>
      <c r="D10" s="39"/>
      <c r="E10" s="7" t="s">
        <v>69</v>
      </c>
      <c r="F10" s="7" t="s">
        <v>47</v>
      </c>
      <c r="G10" s="6" t="s">
        <v>54</v>
      </c>
      <c r="H10" s="6" t="s">
        <v>46</v>
      </c>
      <c r="I10" s="6" t="s">
        <v>76</v>
      </c>
      <c r="J10" s="26" t="s">
        <v>67</v>
      </c>
      <c r="K10" s="13">
        <v>1000</v>
      </c>
      <c r="L10" s="13">
        <f t="shared" si="2"/>
        <v>500</v>
      </c>
      <c r="M10" s="13"/>
      <c r="N10" s="13"/>
      <c r="O10" s="6"/>
      <c r="P10" s="13">
        <f t="shared" si="0"/>
        <v>1500</v>
      </c>
      <c r="Q10" s="13">
        <v>500</v>
      </c>
      <c r="R10" s="16">
        <f t="shared" si="1"/>
        <v>2000</v>
      </c>
    </row>
    <row r="11" spans="1:18" ht="32.1" customHeight="1">
      <c r="A11" s="5">
        <v>5</v>
      </c>
      <c r="B11" s="39" t="s">
        <v>71</v>
      </c>
      <c r="C11" s="39"/>
      <c r="D11" s="39"/>
      <c r="E11" s="7" t="s">
        <v>72</v>
      </c>
      <c r="F11" s="7" t="s">
        <v>47</v>
      </c>
      <c r="G11" s="6" t="s">
        <v>54</v>
      </c>
      <c r="H11" s="6" t="s">
        <v>46</v>
      </c>
      <c r="I11" s="6" t="s">
        <v>77</v>
      </c>
      <c r="J11" s="26" t="s">
        <v>67</v>
      </c>
      <c r="K11" s="13">
        <v>400</v>
      </c>
      <c r="L11" s="13">
        <f t="shared" si="2"/>
        <v>200</v>
      </c>
      <c r="M11" s="13"/>
      <c r="N11" s="13"/>
      <c r="O11" s="6"/>
      <c r="P11" s="13">
        <f t="shared" si="0"/>
        <v>600</v>
      </c>
      <c r="Q11" s="13">
        <v>500</v>
      </c>
      <c r="R11" s="16">
        <f t="shared" si="1"/>
        <v>1100</v>
      </c>
    </row>
    <row r="12" spans="1:18" ht="32.1" customHeight="1">
      <c r="A12" s="5">
        <v>6</v>
      </c>
      <c r="B12" s="39" t="s">
        <v>73</v>
      </c>
      <c r="C12" s="39"/>
      <c r="D12" s="39"/>
      <c r="E12" s="7" t="s">
        <v>74</v>
      </c>
      <c r="F12" s="7" t="s">
        <v>58</v>
      </c>
      <c r="G12" s="6" t="s">
        <v>54</v>
      </c>
      <c r="H12" s="6" t="s">
        <v>46</v>
      </c>
      <c r="I12" s="6" t="s">
        <v>78</v>
      </c>
      <c r="J12" s="26" t="s">
        <v>67</v>
      </c>
      <c r="K12" s="13">
        <v>400</v>
      </c>
      <c r="L12" s="13">
        <f t="shared" ref="L12:L18" si="3">K12/2</f>
        <v>200</v>
      </c>
      <c r="M12" s="13"/>
      <c r="N12" s="13"/>
      <c r="O12" s="6"/>
      <c r="P12" s="13">
        <f>K12+L12+M12+N12</f>
        <v>600</v>
      </c>
      <c r="Q12" s="13">
        <v>500</v>
      </c>
      <c r="R12" s="16">
        <f t="shared" si="1"/>
        <v>1100</v>
      </c>
    </row>
    <row r="13" spans="1:18" ht="32.1" customHeight="1">
      <c r="A13" s="5">
        <v>7</v>
      </c>
      <c r="B13" s="28" t="s">
        <v>75</v>
      </c>
      <c r="C13" s="29"/>
      <c r="D13" s="30"/>
      <c r="E13" s="7" t="s">
        <v>59</v>
      </c>
      <c r="F13" s="7" t="s">
        <v>45</v>
      </c>
      <c r="G13" s="6" t="s">
        <v>54</v>
      </c>
      <c r="H13" s="6" t="s">
        <v>46</v>
      </c>
      <c r="I13" s="6" t="s">
        <v>79</v>
      </c>
      <c r="J13" s="26" t="s">
        <v>67</v>
      </c>
      <c r="K13" s="13">
        <v>400</v>
      </c>
      <c r="L13" s="13">
        <f t="shared" si="3"/>
        <v>200</v>
      </c>
      <c r="M13" s="13"/>
      <c r="N13" s="13"/>
      <c r="O13" s="6"/>
      <c r="P13" s="13">
        <f>K13+L13+M13+N13</f>
        <v>600</v>
      </c>
      <c r="Q13" s="13">
        <v>500</v>
      </c>
      <c r="R13" s="16">
        <f t="shared" si="1"/>
        <v>1100</v>
      </c>
    </row>
    <row r="14" spans="1:18" ht="32.1" customHeight="1">
      <c r="A14" s="5">
        <v>8</v>
      </c>
      <c r="B14" s="28" t="s">
        <v>53</v>
      </c>
      <c r="C14" s="29"/>
      <c r="D14" s="30"/>
      <c r="E14" s="7" t="s">
        <v>49</v>
      </c>
      <c r="F14" s="7" t="s">
        <v>45</v>
      </c>
      <c r="G14" s="6" t="s">
        <v>54</v>
      </c>
      <c r="H14" s="6" t="s">
        <v>46</v>
      </c>
      <c r="I14" s="6" t="s">
        <v>80</v>
      </c>
      <c r="J14" s="26" t="s">
        <v>67</v>
      </c>
      <c r="K14" s="13">
        <v>1000</v>
      </c>
      <c r="L14" s="13">
        <f t="shared" si="3"/>
        <v>500</v>
      </c>
      <c r="M14" s="13"/>
      <c r="N14" s="13"/>
      <c r="O14" s="6"/>
      <c r="P14" s="13">
        <f>K14+L14+M14+N14</f>
        <v>1500</v>
      </c>
      <c r="Q14" s="13">
        <v>500</v>
      </c>
      <c r="R14" s="16">
        <f t="shared" si="1"/>
        <v>2000</v>
      </c>
    </row>
    <row r="15" spans="1:18" ht="32.1" customHeight="1">
      <c r="A15" s="5">
        <v>9</v>
      </c>
      <c r="B15" s="28" t="s">
        <v>55</v>
      </c>
      <c r="C15" s="29"/>
      <c r="D15" s="30"/>
      <c r="E15" s="7" t="s">
        <v>49</v>
      </c>
      <c r="F15" s="7" t="s">
        <v>45</v>
      </c>
      <c r="G15" s="6" t="s">
        <v>54</v>
      </c>
      <c r="H15" s="6" t="s">
        <v>46</v>
      </c>
      <c r="I15" s="6" t="s">
        <v>81</v>
      </c>
      <c r="J15" s="26" t="s">
        <v>67</v>
      </c>
      <c r="K15" s="13">
        <v>1000</v>
      </c>
      <c r="L15" s="13">
        <f t="shared" si="3"/>
        <v>500</v>
      </c>
      <c r="M15" s="13"/>
      <c r="N15" s="13"/>
      <c r="O15" s="6"/>
      <c r="P15" s="13">
        <f>K15+L15+M15+N15</f>
        <v>1500</v>
      </c>
      <c r="Q15" s="13">
        <v>500</v>
      </c>
      <c r="R15" s="16">
        <f t="shared" si="1"/>
        <v>2000</v>
      </c>
    </row>
    <row r="16" spans="1:18" ht="32.1" customHeight="1">
      <c r="A16" s="5">
        <v>10</v>
      </c>
      <c r="B16" s="28" t="s">
        <v>84</v>
      </c>
      <c r="C16" s="29"/>
      <c r="D16" s="30"/>
      <c r="E16" s="7" t="s">
        <v>69</v>
      </c>
      <c r="F16" s="7" t="s">
        <v>47</v>
      </c>
      <c r="G16" s="6" t="s">
        <v>83</v>
      </c>
      <c r="H16" s="6" t="s">
        <v>46</v>
      </c>
      <c r="I16" s="6" t="s">
        <v>82</v>
      </c>
      <c r="J16" s="26">
        <v>46269</v>
      </c>
      <c r="K16" s="13">
        <v>1000</v>
      </c>
      <c r="L16" s="13"/>
      <c r="M16" s="13">
        <v>100</v>
      </c>
      <c r="N16" s="13"/>
      <c r="O16" s="6"/>
      <c r="P16" s="13">
        <f>K16+L16+M16+N16</f>
        <v>1100</v>
      </c>
      <c r="Q16" s="13">
        <v>500</v>
      </c>
      <c r="R16" s="16">
        <f t="shared" si="1"/>
        <v>1600</v>
      </c>
    </row>
    <row r="17" spans="1:18" ht="32.1" customHeight="1">
      <c r="A17" s="5">
        <v>11</v>
      </c>
      <c r="B17" s="28" t="s">
        <v>85</v>
      </c>
      <c r="C17" s="29"/>
      <c r="D17" s="30"/>
      <c r="E17" s="7" t="s">
        <v>56</v>
      </c>
      <c r="F17" s="7" t="s">
        <v>45</v>
      </c>
      <c r="G17" s="6" t="s">
        <v>83</v>
      </c>
      <c r="H17" s="6" t="s">
        <v>46</v>
      </c>
      <c r="I17" s="6" t="s">
        <v>86</v>
      </c>
      <c r="J17" s="26">
        <v>46269</v>
      </c>
      <c r="K17" s="13">
        <v>1000</v>
      </c>
      <c r="L17" s="13"/>
      <c r="M17" s="13"/>
      <c r="N17" s="6"/>
      <c r="O17" s="6"/>
      <c r="P17" s="13">
        <f>K17+L17+M17</f>
        <v>1000</v>
      </c>
      <c r="Q17" s="13">
        <v>500</v>
      </c>
      <c r="R17" s="16">
        <f t="shared" si="1"/>
        <v>1500</v>
      </c>
    </row>
    <row r="18" spans="1:18" ht="32.1" customHeight="1">
      <c r="A18" s="5">
        <v>12</v>
      </c>
      <c r="B18" s="28" t="s">
        <v>88</v>
      </c>
      <c r="C18" s="29"/>
      <c r="D18" s="30"/>
      <c r="E18" s="7" t="s">
        <v>89</v>
      </c>
      <c r="F18" s="7" t="s">
        <v>45</v>
      </c>
      <c r="G18" s="6" t="s">
        <v>90</v>
      </c>
      <c r="H18" s="6" t="s">
        <v>46</v>
      </c>
      <c r="I18" s="6" t="s">
        <v>87</v>
      </c>
      <c r="J18" s="26">
        <v>46280</v>
      </c>
      <c r="K18" s="13">
        <v>400</v>
      </c>
      <c r="L18" s="13">
        <f t="shared" si="3"/>
        <v>200</v>
      </c>
      <c r="M18" s="13">
        <v>100</v>
      </c>
      <c r="N18" s="6"/>
      <c r="O18" s="6"/>
      <c r="P18" s="13">
        <f>K18+L18+M18</f>
        <v>700</v>
      </c>
      <c r="Q18" s="13">
        <v>500</v>
      </c>
      <c r="R18" s="16">
        <f t="shared" si="1"/>
        <v>1200</v>
      </c>
    </row>
    <row r="19" spans="1:18" ht="32.1" customHeight="1">
      <c r="A19" s="5">
        <v>13</v>
      </c>
      <c r="B19" s="28" t="s">
        <v>91</v>
      </c>
      <c r="C19" s="29"/>
      <c r="D19" s="30"/>
      <c r="E19" s="7" t="s">
        <v>57</v>
      </c>
      <c r="F19" s="7" t="s">
        <v>45</v>
      </c>
      <c r="G19" s="6" t="s">
        <v>90</v>
      </c>
      <c r="H19" s="6" t="s">
        <v>46</v>
      </c>
      <c r="I19" s="6" t="s">
        <v>98</v>
      </c>
      <c r="J19" s="26">
        <v>46280</v>
      </c>
      <c r="K19" s="13">
        <v>500</v>
      </c>
      <c r="L19" s="13">
        <f t="shared" si="2"/>
        <v>250</v>
      </c>
      <c r="M19" s="13"/>
      <c r="N19" s="6"/>
      <c r="O19" s="6"/>
      <c r="P19" s="13">
        <f t="shared" ref="P19:P25" si="4">K19+L19+M19</f>
        <v>750</v>
      </c>
      <c r="Q19" s="13">
        <v>500</v>
      </c>
      <c r="R19" s="16">
        <f t="shared" si="1"/>
        <v>1250</v>
      </c>
    </row>
    <row r="20" spans="1:18" ht="32.1" customHeight="1">
      <c r="A20" s="5">
        <v>14</v>
      </c>
      <c r="B20" s="28" t="s">
        <v>92</v>
      </c>
      <c r="C20" s="29"/>
      <c r="D20" s="30"/>
      <c r="E20" s="7" t="s">
        <v>57</v>
      </c>
      <c r="F20" s="7" t="s">
        <v>45</v>
      </c>
      <c r="G20" s="6" t="s">
        <v>90</v>
      </c>
      <c r="H20" s="6" t="s">
        <v>46</v>
      </c>
      <c r="I20" s="6" t="s">
        <v>99</v>
      </c>
      <c r="J20" s="26">
        <v>46280</v>
      </c>
      <c r="K20" s="13">
        <v>500</v>
      </c>
      <c r="L20" s="13">
        <f t="shared" si="2"/>
        <v>250</v>
      </c>
      <c r="M20" s="13"/>
      <c r="N20" s="6"/>
      <c r="O20" s="6"/>
      <c r="P20" s="13">
        <f t="shared" si="4"/>
        <v>750</v>
      </c>
      <c r="Q20" s="13">
        <v>500</v>
      </c>
      <c r="R20" s="16">
        <f t="shared" si="1"/>
        <v>1250</v>
      </c>
    </row>
    <row r="21" spans="1:18" ht="32.1" customHeight="1">
      <c r="A21" s="5">
        <v>15</v>
      </c>
      <c r="B21" s="40" t="s">
        <v>93</v>
      </c>
      <c r="C21" s="41"/>
      <c r="D21" s="42"/>
      <c r="E21" s="7" t="s">
        <v>57</v>
      </c>
      <c r="F21" s="7" t="s">
        <v>45</v>
      </c>
      <c r="G21" s="6" t="s">
        <v>90</v>
      </c>
      <c r="H21" s="6" t="s">
        <v>46</v>
      </c>
      <c r="I21" s="6" t="s">
        <v>100</v>
      </c>
      <c r="J21" s="26">
        <v>46280</v>
      </c>
      <c r="K21" s="13">
        <v>500</v>
      </c>
      <c r="L21" s="13">
        <f t="shared" si="2"/>
        <v>250</v>
      </c>
      <c r="M21" s="13"/>
      <c r="N21" s="6"/>
      <c r="O21" s="6"/>
      <c r="P21" s="13">
        <f t="shared" si="4"/>
        <v>750</v>
      </c>
      <c r="Q21" s="13">
        <v>500</v>
      </c>
      <c r="R21" s="16">
        <f t="shared" si="1"/>
        <v>1250</v>
      </c>
    </row>
    <row r="22" spans="1:18" ht="32.1" customHeight="1">
      <c r="A22" s="5">
        <v>16</v>
      </c>
      <c r="B22" s="28" t="s">
        <v>94</v>
      </c>
      <c r="C22" s="29"/>
      <c r="D22" s="30"/>
      <c r="E22" s="7" t="s">
        <v>52</v>
      </c>
      <c r="F22" s="7" t="s">
        <v>45</v>
      </c>
      <c r="G22" s="6" t="s">
        <v>90</v>
      </c>
      <c r="H22" s="6" t="s">
        <v>46</v>
      </c>
      <c r="I22" s="6" t="s">
        <v>101</v>
      </c>
      <c r="J22" s="26">
        <v>46280</v>
      </c>
      <c r="K22" s="13">
        <v>500</v>
      </c>
      <c r="L22" s="13">
        <f t="shared" si="2"/>
        <v>250</v>
      </c>
      <c r="M22" s="13"/>
      <c r="N22" s="6"/>
      <c r="O22" s="6"/>
      <c r="P22" s="13">
        <f t="shared" si="4"/>
        <v>750</v>
      </c>
      <c r="Q22" s="13">
        <v>500</v>
      </c>
      <c r="R22" s="16">
        <f t="shared" si="1"/>
        <v>1250</v>
      </c>
    </row>
    <row r="23" spans="1:18" ht="32.1" customHeight="1">
      <c r="A23" s="5">
        <v>17</v>
      </c>
      <c r="B23" s="28" t="s">
        <v>95</v>
      </c>
      <c r="C23" s="29"/>
      <c r="D23" s="30"/>
      <c r="E23" s="7" t="s">
        <v>50</v>
      </c>
      <c r="F23" s="7" t="s">
        <v>45</v>
      </c>
      <c r="G23" s="6" t="s">
        <v>90</v>
      </c>
      <c r="H23" s="6" t="s">
        <v>46</v>
      </c>
      <c r="I23" s="6" t="s">
        <v>102</v>
      </c>
      <c r="J23" s="26">
        <v>46280</v>
      </c>
      <c r="K23" s="13">
        <v>1000</v>
      </c>
      <c r="L23" s="13">
        <f t="shared" si="2"/>
        <v>500</v>
      </c>
      <c r="M23" s="13"/>
      <c r="N23" s="6"/>
      <c r="O23" s="6"/>
      <c r="P23" s="13">
        <f t="shared" si="4"/>
        <v>1500</v>
      </c>
      <c r="Q23" s="13">
        <v>500</v>
      </c>
      <c r="R23" s="16">
        <f t="shared" si="1"/>
        <v>2000</v>
      </c>
    </row>
    <row r="24" spans="1:18" ht="32.1" customHeight="1">
      <c r="A24" s="5">
        <v>18</v>
      </c>
      <c r="B24" s="28" t="s">
        <v>96</v>
      </c>
      <c r="C24" s="29"/>
      <c r="D24" s="30"/>
      <c r="E24" s="7" t="s">
        <v>50</v>
      </c>
      <c r="F24" s="7" t="s">
        <v>45</v>
      </c>
      <c r="G24" s="6" t="s">
        <v>90</v>
      </c>
      <c r="H24" s="6" t="s">
        <v>46</v>
      </c>
      <c r="I24" s="6" t="s">
        <v>103</v>
      </c>
      <c r="J24" s="26">
        <v>46280</v>
      </c>
      <c r="K24" s="13">
        <v>1000</v>
      </c>
      <c r="L24" s="13">
        <f t="shared" si="2"/>
        <v>500</v>
      </c>
      <c r="M24" s="13"/>
      <c r="N24" s="6"/>
      <c r="O24" s="6"/>
      <c r="P24" s="13">
        <f t="shared" si="4"/>
        <v>1500</v>
      </c>
      <c r="Q24" s="13">
        <v>500</v>
      </c>
      <c r="R24" s="16">
        <f t="shared" si="1"/>
        <v>2000</v>
      </c>
    </row>
    <row r="25" spans="1:18" ht="32.1" customHeight="1">
      <c r="A25" s="5">
        <v>19</v>
      </c>
      <c r="B25" s="28" t="s">
        <v>97</v>
      </c>
      <c r="C25" s="29"/>
      <c r="D25" s="30"/>
      <c r="E25" s="7" t="s">
        <v>50</v>
      </c>
      <c r="F25" s="7" t="s">
        <v>45</v>
      </c>
      <c r="G25" s="6" t="s">
        <v>90</v>
      </c>
      <c r="H25" s="6" t="s">
        <v>46</v>
      </c>
      <c r="I25" s="6" t="s">
        <v>104</v>
      </c>
      <c r="J25" s="26">
        <v>46280</v>
      </c>
      <c r="K25" s="13">
        <v>1000</v>
      </c>
      <c r="L25" s="13">
        <f t="shared" si="2"/>
        <v>500</v>
      </c>
      <c r="M25" s="13"/>
      <c r="N25" s="6"/>
      <c r="O25" s="6"/>
      <c r="P25" s="13">
        <f t="shared" si="4"/>
        <v>1500</v>
      </c>
      <c r="Q25" s="13">
        <v>500</v>
      </c>
      <c r="R25" s="16">
        <f t="shared" si="1"/>
        <v>2000</v>
      </c>
    </row>
    <row r="26" spans="1:18" ht="32.1" customHeight="1">
      <c r="A26" s="5">
        <v>20</v>
      </c>
      <c r="B26" s="39"/>
      <c r="C26" s="39"/>
      <c r="D26" s="39"/>
      <c r="E26" s="7"/>
      <c r="F26" s="7"/>
      <c r="G26" s="6"/>
      <c r="H26" s="6"/>
      <c r="I26" s="6"/>
      <c r="J26" s="26"/>
      <c r="K26" s="13"/>
      <c r="L26" s="13"/>
      <c r="M26" s="13"/>
      <c r="N26" s="13"/>
      <c r="O26" s="6"/>
      <c r="P26" s="13"/>
      <c r="Q26" s="13"/>
      <c r="R26" s="16"/>
    </row>
    <row r="27" spans="1:18" ht="32.1" customHeight="1">
      <c r="A27" s="5">
        <v>21</v>
      </c>
      <c r="B27" s="39"/>
      <c r="C27" s="39"/>
      <c r="D27" s="39"/>
      <c r="E27" s="7"/>
      <c r="F27" s="7"/>
      <c r="G27" s="6"/>
      <c r="H27" s="6"/>
      <c r="I27" s="6"/>
      <c r="J27" s="26"/>
      <c r="K27" s="13"/>
      <c r="L27" s="13"/>
      <c r="M27" s="13"/>
      <c r="N27" s="13"/>
      <c r="O27" s="6"/>
      <c r="P27" s="13"/>
      <c r="Q27" s="13"/>
      <c r="R27" s="16"/>
    </row>
    <row r="28" spans="1:18" ht="32.1" customHeight="1">
      <c r="A28" s="5">
        <v>22</v>
      </c>
      <c r="B28" s="39"/>
      <c r="C28" s="39"/>
      <c r="D28" s="39"/>
      <c r="E28" s="7"/>
      <c r="F28" s="7"/>
      <c r="G28" s="6"/>
      <c r="H28" s="6"/>
      <c r="I28" s="6"/>
      <c r="J28" s="26"/>
      <c r="K28" s="13"/>
      <c r="L28" s="13"/>
      <c r="M28" s="13"/>
      <c r="N28" s="13"/>
      <c r="O28" s="6"/>
      <c r="P28" s="13"/>
      <c r="Q28" s="13"/>
      <c r="R28" s="16"/>
    </row>
    <row r="29" spans="1:18" ht="32.1" customHeight="1">
      <c r="A29" s="5">
        <v>23</v>
      </c>
      <c r="B29" s="39"/>
      <c r="C29" s="39"/>
      <c r="D29" s="39"/>
      <c r="E29" s="7"/>
      <c r="F29" s="7"/>
      <c r="G29" s="6"/>
      <c r="H29" s="6"/>
      <c r="I29" s="6"/>
      <c r="J29" s="26"/>
      <c r="K29" s="13"/>
      <c r="L29" s="13"/>
      <c r="M29" s="13"/>
      <c r="N29" s="13"/>
      <c r="O29" s="6"/>
      <c r="P29" s="13"/>
      <c r="Q29" s="13"/>
      <c r="R29" s="16"/>
    </row>
    <row r="30" spans="1:18" ht="32.1" customHeight="1">
      <c r="A30" s="5">
        <v>24</v>
      </c>
      <c r="B30" s="39"/>
      <c r="C30" s="39"/>
      <c r="D30" s="39"/>
      <c r="E30" s="7"/>
      <c r="F30" s="7"/>
      <c r="G30" s="6"/>
      <c r="H30" s="6"/>
      <c r="I30" s="6"/>
      <c r="J30" s="26"/>
      <c r="K30" s="13"/>
      <c r="L30" s="13"/>
      <c r="M30" s="13"/>
      <c r="N30" s="13"/>
      <c r="O30" s="6"/>
      <c r="P30" s="13"/>
      <c r="Q30" s="13"/>
      <c r="R30" s="16"/>
    </row>
    <row r="31" spans="1:18" ht="32.1" customHeight="1">
      <c r="A31" s="5">
        <v>25</v>
      </c>
      <c r="B31" s="39"/>
      <c r="C31" s="39"/>
      <c r="D31" s="39"/>
      <c r="E31" s="7"/>
      <c r="F31" s="7"/>
      <c r="G31" s="6"/>
      <c r="H31" s="6"/>
      <c r="I31" s="6"/>
      <c r="J31" s="26"/>
      <c r="K31" s="13"/>
      <c r="L31" s="13"/>
      <c r="M31" s="13"/>
      <c r="N31" s="13"/>
      <c r="O31" s="6"/>
      <c r="P31" s="13"/>
      <c r="Q31" s="13"/>
      <c r="R31" s="16"/>
    </row>
    <row r="32" spans="1:18" ht="32.1" customHeight="1">
      <c r="A32" s="5">
        <v>26</v>
      </c>
      <c r="B32" s="39"/>
      <c r="C32" s="39"/>
      <c r="D32" s="39"/>
      <c r="E32" s="7"/>
      <c r="F32" s="7"/>
      <c r="G32" s="6"/>
      <c r="H32" s="6"/>
      <c r="I32" s="6"/>
      <c r="J32" s="26"/>
      <c r="K32" s="13"/>
      <c r="L32" s="13"/>
      <c r="M32" s="13"/>
      <c r="N32" s="13"/>
      <c r="O32" s="6"/>
      <c r="P32" s="13"/>
      <c r="Q32" s="13"/>
      <c r="R32" s="16"/>
    </row>
    <row r="33" spans="1:18" ht="32.1" customHeight="1">
      <c r="A33" s="5">
        <v>27</v>
      </c>
      <c r="B33" s="39"/>
      <c r="C33" s="39"/>
      <c r="D33" s="39"/>
      <c r="E33" s="7"/>
      <c r="F33" s="7"/>
      <c r="G33" s="6"/>
      <c r="H33" s="6"/>
      <c r="I33" s="6"/>
      <c r="J33" s="26"/>
      <c r="K33" s="13"/>
      <c r="L33" s="13"/>
      <c r="M33" s="13"/>
      <c r="N33" s="13"/>
      <c r="O33" s="6"/>
      <c r="P33" s="13"/>
      <c r="Q33" s="13"/>
      <c r="R33" s="16"/>
    </row>
    <row r="34" spans="1:18" ht="32.1" customHeight="1">
      <c r="A34" s="5">
        <v>28</v>
      </c>
      <c r="B34" s="39"/>
      <c r="C34" s="39"/>
      <c r="D34" s="39"/>
      <c r="E34" s="7"/>
      <c r="F34" s="7"/>
      <c r="G34" s="6"/>
      <c r="H34" s="6"/>
      <c r="I34" s="6"/>
      <c r="J34" s="26"/>
      <c r="K34" s="13"/>
      <c r="L34" s="13"/>
      <c r="M34" s="13"/>
      <c r="N34" s="13"/>
      <c r="O34" s="6"/>
      <c r="P34" s="13"/>
      <c r="Q34" s="13"/>
      <c r="R34" s="16"/>
    </row>
    <row r="35" spans="1:18" ht="32.1" customHeight="1">
      <c r="A35" s="5">
        <v>29</v>
      </c>
      <c r="B35" s="39"/>
      <c r="C35" s="39"/>
      <c r="D35" s="39"/>
      <c r="E35" s="7"/>
      <c r="F35" s="7"/>
      <c r="G35" s="6"/>
      <c r="H35" s="6"/>
      <c r="I35" s="6"/>
      <c r="J35" s="26"/>
      <c r="K35" s="13"/>
      <c r="L35" s="13"/>
      <c r="M35" s="13"/>
      <c r="N35" s="13"/>
      <c r="O35" s="6"/>
      <c r="P35" s="13"/>
      <c r="Q35" s="13"/>
      <c r="R35" s="16"/>
    </row>
    <row r="36" spans="1:18" ht="32.1" customHeight="1">
      <c r="A36" s="5">
        <v>30</v>
      </c>
      <c r="B36" s="39"/>
      <c r="C36" s="39"/>
      <c r="D36" s="39"/>
      <c r="E36" s="7"/>
      <c r="F36" s="7"/>
      <c r="G36" s="6"/>
      <c r="H36" s="6"/>
      <c r="I36" s="6"/>
      <c r="J36" s="26"/>
      <c r="K36" s="13"/>
      <c r="L36" s="13"/>
      <c r="M36" s="13"/>
      <c r="N36" s="6"/>
      <c r="O36" s="6"/>
      <c r="P36" s="13"/>
      <c r="Q36" s="13"/>
      <c r="R36" s="16"/>
    </row>
    <row r="37" spans="1:18" ht="32.1" customHeight="1">
      <c r="A37" s="66" t="s">
        <v>33</v>
      </c>
      <c r="B37" s="67"/>
      <c r="C37" s="67"/>
      <c r="D37" s="67"/>
      <c r="E37" s="67"/>
      <c r="F37" s="67"/>
      <c r="G37" s="67"/>
      <c r="H37" s="67"/>
      <c r="I37" s="67"/>
      <c r="J37" s="68"/>
      <c r="K37" s="14">
        <f t="shared" ref="K37:R37" si="5">SUM(K7:K36)</f>
        <v>13600</v>
      </c>
      <c r="L37" s="14">
        <f t="shared" si="5"/>
        <v>5300</v>
      </c>
      <c r="M37" s="14">
        <f t="shared" si="5"/>
        <v>500</v>
      </c>
      <c r="N37" s="27">
        <f t="shared" si="5"/>
        <v>0</v>
      </c>
      <c r="O37" s="14">
        <f t="shared" si="5"/>
        <v>0</v>
      </c>
      <c r="P37" s="14">
        <f t="shared" si="5"/>
        <v>19400</v>
      </c>
      <c r="Q37" s="14">
        <f t="shared" si="5"/>
        <v>9500</v>
      </c>
      <c r="R37" s="24">
        <f t="shared" si="5"/>
        <v>28900</v>
      </c>
    </row>
    <row r="38" spans="1:18" ht="23.1" customHeight="1">
      <c r="A38" s="17" t="s">
        <v>34</v>
      </c>
      <c r="L38" s="43" t="s">
        <v>35</v>
      </c>
      <c r="M38" s="44"/>
      <c r="N38" s="44"/>
      <c r="O38" s="44"/>
      <c r="P38" s="44"/>
      <c r="Q38" s="44"/>
      <c r="R38" s="45"/>
    </row>
    <row r="39" spans="1:18" ht="23.1" customHeight="1">
      <c r="A39" s="18" t="s">
        <v>36</v>
      </c>
      <c r="B39" s="19"/>
      <c r="C39" s="19"/>
      <c r="D39" s="19"/>
      <c r="E39" s="19"/>
      <c r="F39" s="19"/>
      <c r="G39" s="19"/>
      <c r="H39" s="19"/>
      <c r="I39" s="19"/>
      <c r="J39" s="19"/>
      <c r="K39" s="19"/>
      <c r="L39" s="46" t="s">
        <v>37</v>
      </c>
      <c r="M39" s="47"/>
      <c r="N39" s="47"/>
      <c r="O39" s="47"/>
      <c r="P39" s="47"/>
      <c r="Q39" s="47"/>
      <c r="R39" s="48"/>
    </row>
    <row r="40" spans="1:18" ht="23.1" customHeight="1">
      <c r="A40" s="18" t="s">
        <v>38</v>
      </c>
      <c r="B40" s="20"/>
      <c r="C40" s="20"/>
      <c r="D40" s="20"/>
      <c r="E40" s="20"/>
      <c r="F40" s="20"/>
      <c r="G40" s="20"/>
      <c r="H40" s="20"/>
      <c r="I40" s="20"/>
      <c r="J40" s="20"/>
      <c r="K40" s="20"/>
      <c r="L40" s="49"/>
      <c r="M40" s="50"/>
      <c r="N40" s="50"/>
      <c r="O40" s="50"/>
      <c r="P40" s="50"/>
      <c r="Q40" s="50"/>
      <c r="R40" s="51"/>
    </row>
    <row r="41" spans="1:18" ht="22.8">
      <c r="A41" s="52" t="s">
        <v>39</v>
      </c>
      <c r="B41" s="53"/>
      <c r="C41" s="53"/>
      <c r="D41" s="53"/>
      <c r="E41" s="53"/>
      <c r="F41" s="53"/>
      <c r="G41" s="53"/>
      <c r="H41" s="53"/>
      <c r="I41" s="53"/>
      <c r="J41" s="53"/>
      <c r="K41" s="54"/>
      <c r="L41" s="46" t="s">
        <v>40</v>
      </c>
      <c r="M41" s="47"/>
      <c r="N41" s="47"/>
      <c r="O41" s="47"/>
      <c r="P41" s="47"/>
      <c r="Q41" s="47"/>
      <c r="R41" s="48"/>
    </row>
    <row r="42" spans="1:18" ht="23.1" customHeight="1">
      <c r="A42" s="18" t="s">
        <v>41</v>
      </c>
      <c r="B42" s="19"/>
      <c r="C42" s="19"/>
      <c r="D42" s="19"/>
      <c r="E42" s="19"/>
      <c r="F42" s="19"/>
      <c r="G42" s="19"/>
      <c r="H42" s="19"/>
      <c r="I42" s="19"/>
      <c r="J42" s="19"/>
      <c r="K42" s="19"/>
      <c r="L42" s="21"/>
      <c r="R42" s="25"/>
    </row>
    <row r="43" spans="1:18" ht="23.1" customHeight="1">
      <c r="A43" s="18" t="s">
        <v>42</v>
      </c>
      <c r="B43" s="19"/>
      <c r="C43" s="19"/>
      <c r="D43" s="19"/>
      <c r="E43" s="19"/>
      <c r="F43" s="19"/>
      <c r="G43" s="19"/>
      <c r="H43" s="19"/>
      <c r="I43" s="19"/>
      <c r="J43" s="19"/>
      <c r="K43" s="19"/>
      <c r="L43" s="21"/>
      <c r="R43" s="25"/>
    </row>
    <row r="44" spans="1:18" ht="23.1" customHeight="1">
      <c r="A44" s="62" t="s">
        <v>43</v>
      </c>
      <c r="B44" s="63"/>
      <c r="C44" s="63"/>
      <c r="D44" s="63"/>
      <c r="E44" s="63"/>
      <c r="F44" s="63"/>
      <c r="G44" s="63"/>
      <c r="H44" s="63"/>
      <c r="I44" s="63"/>
      <c r="J44" s="63"/>
      <c r="K44" s="63"/>
      <c r="L44" s="21"/>
      <c r="R44" s="25"/>
    </row>
    <row r="45" spans="1:18" s="3" customFormat="1" ht="23.1" customHeight="1" thickBot="1">
      <c r="A45" s="64"/>
      <c r="B45" s="65"/>
      <c r="C45" s="65"/>
      <c r="D45" s="65"/>
      <c r="E45" s="65"/>
      <c r="F45" s="65"/>
      <c r="G45" s="65"/>
      <c r="H45" s="65"/>
      <c r="I45" s="65"/>
      <c r="J45" s="65"/>
      <c r="K45" s="65"/>
      <c r="L45" s="22"/>
      <c r="M45" s="23"/>
      <c r="N45" s="23"/>
      <c r="O45" s="23"/>
      <c r="P45" s="23"/>
      <c r="Q45" s="55"/>
      <c r="R45" s="56"/>
    </row>
    <row r="46" spans="1:18" ht="23.25" customHeight="1">
      <c r="P46" s="57" t="s">
        <v>44</v>
      </c>
      <c r="Q46" s="57"/>
      <c r="R46" s="57"/>
    </row>
  </sheetData>
  <mergeCells count="61">
    <mergeCell ref="Q45:R45"/>
    <mergeCell ref="P46:R46"/>
    <mergeCell ref="A4:A6"/>
    <mergeCell ref="E4:E6"/>
    <mergeCell ref="F4:F6"/>
    <mergeCell ref="G4:G6"/>
    <mergeCell ref="H4:H6"/>
    <mergeCell ref="I4:I6"/>
    <mergeCell ref="J4:J6"/>
    <mergeCell ref="K4:K5"/>
    <mergeCell ref="P4:P5"/>
    <mergeCell ref="Q4:Q5"/>
    <mergeCell ref="R4:R5"/>
    <mergeCell ref="B4:D6"/>
    <mergeCell ref="A44:K45"/>
    <mergeCell ref="A37:J37"/>
    <mergeCell ref="L38:R38"/>
    <mergeCell ref="L39:R39"/>
    <mergeCell ref="L40:R40"/>
    <mergeCell ref="A41:K41"/>
    <mergeCell ref="L41:R41"/>
    <mergeCell ref="B33:D33"/>
    <mergeCell ref="B34:D34"/>
    <mergeCell ref="B35:D35"/>
    <mergeCell ref="B36:D36"/>
    <mergeCell ref="B27:D27"/>
    <mergeCell ref="B28:D28"/>
    <mergeCell ref="B29:D29"/>
    <mergeCell ref="B30:D30"/>
    <mergeCell ref="B31:D31"/>
    <mergeCell ref="B18:D18"/>
    <mergeCell ref="B19:D19"/>
    <mergeCell ref="B20:D20"/>
    <mergeCell ref="B21:D21"/>
    <mergeCell ref="B32:D32"/>
    <mergeCell ref="B22:D22"/>
    <mergeCell ref="B23:D23"/>
    <mergeCell ref="B24:D24"/>
    <mergeCell ref="B25:D25"/>
    <mergeCell ref="B26:D26"/>
    <mergeCell ref="B9:D9"/>
    <mergeCell ref="B10:D10"/>
    <mergeCell ref="B11:D11"/>
    <mergeCell ref="B12:D12"/>
    <mergeCell ref="B17:D17"/>
    <mergeCell ref="B16:D16"/>
    <mergeCell ref="B15:D15"/>
    <mergeCell ref="B14:D14"/>
    <mergeCell ref="B13:D13"/>
    <mergeCell ref="A1:R1"/>
    <mergeCell ref="A2:E2"/>
    <mergeCell ref="F2:J2"/>
    <mergeCell ref="L2:O2"/>
    <mergeCell ref="Q2:R2"/>
    <mergeCell ref="A3:E3"/>
    <mergeCell ref="F3:J3"/>
    <mergeCell ref="K3:M3"/>
    <mergeCell ref="N3:R3"/>
    <mergeCell ref="L4:O4"/>
    <mergeCell ref="B7:D7"/>
    <mergeCell ref="B8:D8"/>
  </mergeCells>
  <phoneticPr fontId="11" type="noConversion"/>
  <pageMargins left="0.16" right="0.16" top="0.35" bottom="0.16" header="0.22" footer="0.3"/>
  <pageSetup paperSize="9" scale="47"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Vendor Claim Sheet</vt:lpstr>
      <vt:lpstr>'Vendor Claim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Sivaraman</dc:creator>
  <cp:lastModifiedBy>shesathri kalyanikumar</cp:lastModifiedBy>
  <cp:lastPrinted>2022-07-30T10:37:00Z</cp:lastPrinted>
  <dcterms:created xsi:type="dcterms:W3CDTF">2021-12-06T03:25:00Z</dcterms:created>
  <dcterms:modified xsi:type="dcterms:W3CDTF">2026-09-20T17:59:26Z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E1A4F52990C542B68428EA1E279CFB98_13</vt:lpwstr>
  </property>
  <property fmtid="{D5CDD505-2E9C-101B-9397-08002B2CF9AE}" pid="3" name="KSOProductBuildVer">
    <vt:lpwstr>1033-12.2.0.21179</vt:lpwstr>
  </property>
</Properties>
</file>